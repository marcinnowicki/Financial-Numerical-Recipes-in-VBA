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72" windowWidth="22056" windowHeight="10080"/>
  </bookViews>
  <sheets>
    <sheet name="Arkusz1" sheetId="1" r:id="rId1"/>
    <sheet name="Arkusz2" sheetId="2" r:id="rId2"/>
    <sheet name="Arkusz3" sheetId="3" r:id="rId3"/>
  </sheets>
  <functionGroups/>
  <calcPr calcId="125725"/>
</workbook>
</file>

<file path=xl/calcChain.xml><?xml version="1.0" encoding="utf-8"?>
<calcChain xmlns="http://schemas.openxmlformats.org/spreadsheetml/2006/main">
  <c r="O4" i="3"/>
  <c r="N4"/>
  <c r="M4"/>
  <c r="O3"/>
  <c r="N3"/>
  <c r="M3"/>
  <c r="O2"/>
  <c r="N2"/>
  <c r="M2"/>
  <c r="O1"/>
  <c r="N1"/>
  <c r="M1"/>
  <c r="D3" i="2"/>
  <c r="D1" i="1" l="1"/>
  <c r="E1" s="1"/>
  <c r="C1"/>
</calcChain>
</file>

<file path=xl/sharedStrings.xml><?xml version="1.0" encoding="utf-8"?>
<sst xmlns="http://schemas.openxmlformats.org/spreadsheetml/2006/main" count="299" uniqueCount="284">
  <si>
    <t>1.1</t>
  </si>
  <si>
    <t>A complete program</t>
  </si>
  <si>
    <t>1.2</t>
  </si>
  <si>
    <t>Basic operations for the date class</t>
  </si>
  <si>
    <t>1.3</t>
  </si>
  <si>
    <t>Comparison operators for the date class</t>
  </si>
  <si>
    <t>1.4</t>
  </si>
  <si>
    <t>Iterative operators for the date class</t>
  </si>
  <si>
    <t>3.1</t>
  </si>
  <si>
    <t>Present value with discrete compounding</t>
  </si>
  <si>
    <t>3.2</t>
  </si>
  <si>
    <t>Estimation of the internal rate of return</t>
  </si>
  <si>
    <t>3.3</t>
  </si>
  <si>
    <t>Test for uniqueness of IRR</t>
  </si>
  <si>
    <t>3.4</t>
  </si>
  <si>
    <t>Present value calculation with continously compounded interest</t>
  </si>
  <si>
    <t>4.1</t>
  </si>
  <si>
    <t>Bond price calculation with discrete, annual compounding</t>
  </si>
  <si>
    <t>4.2</t>
  </si>
  <si>
    <t>Bond yield calculation with discrete, annual compounding</t>
  </si>
  <si>
    <t>4.3</t>
  </si>
  <si>
    <t>Bond duration using discrete, annual compounding and a flat term struc</t>
  </si>
  <si>
    <t>4.4</t>
  </si>
  <si>
    <t>Calculating the Macaulay duration of a bond</t>
  </si>
  <si>
    <t>4.5</t>
  </si>
  <si>
    <t>Modified duration</t>
  </si>
  <si>
    <t>4.6</t>
  </si>
  <si>
    <t>Bond convexity with a flat term structure and annual compounding</t>
  </si>
  <si>
    <t>4.7</t>
  </si>
  <si>
    <t>4.8</t>
  </si>
  <si>
    <t>Bond duration calculation with continously compounded interest and a f</t>
  </si>
  <si>
    <t>4.9</t>
  </si>
  <si>
    <t>Calculating the Macaulay duration of a bond with continously compounde</t>
  </si>
  <si>
    <t>4.10</t>
  </si>
  <si>
    <t>Bond convexity calculation with continously compounded interest and a</t>
  </si>
  <si>
    <t>5.1</t>
  </si>
  <si>
    <t>Term structure transformations</t>
  </si>
  <si>
    <t>5.2</t>
  </si>
  <si>
    <t>Default code for transformations between discount factors, spot rates</t>
  </si>
  <si>
    <t>5.3</t>
  </si>
  <si>
    <t>Implementing term structure class using a flat term structure</t>
  </si>
  <si>
    <t>5.4</t>
  </si>
  <si>
    <t>Interpolated term structure from spot rates</t>
  </si>
  <si>
    <t>5.5</t>
  </si>
  <si>
    <t>Term structure class using linear interpolation between spot rates</t>
  </si>
  <si>
    <t>5.6</t>
  </si>
  <si>
    <t>Pricing a bond with a term structure class</t>
  </si>
  <si>
    <t>5.7</t>
  </si>
  <si>
    <t>Calculating a bonds duration with a term structure class</t>
  </si>
  <si>
    <t>5.8</t>
  </si>
  <si>
    <t>Calculating a bonds convexity with a term structure class</t>
  </si>
  <si>
    <t>6.1</t>
  </si>
  <si>
    <t>Mean variance calculations using IT++</t>
  </si>
  <si>
    <t>6.2</t>
  </si>
  <si>
    <t>Mean variance calculations using Newmat</t>
  </si>
  <si>
    <t>6.3</t>
  </si>
  <si>
    <t>Calculating the unconstrained frontier portfolio given an expected ret</t>
  </si>
  <si>
    <t>6.4</t>
  </si>
  <si>
    <t>7.1</t>
  </si>
  <si>
    <t>Futures price</t>
  </si>
  <si>
    <t>8.1</t>
  </si>
  <si>
    <t>Binomial European, one period</t>
  </si>
  <si>
    <t>8.2</t>
  </si>
  <si>
    <t>Building a binomial tree</t>
  </si>
  <si>
    <t>8.3</t>
  </si>
  <si>
    <t>Binomial multiperiod pricing of European call option</t>
  </si>
  <si>
    <t>9.1</t>
  </si>
  <si>
    <t>Price of European call option using the Black Scholes formula</t>
  </si>
  <si>
    <t>9.2</t>
  </si>
  <si>
    <t>Calculating the delta of the Black Scholes call option price</t>
  </si>
  <si>
    <t>9.3</t>
  </si>
  <si>
    <t>Calculating the partial derivatives of a Black Scholes call option</t>
  </si>
  <si>
    <t>9.4</t>
  </si>
  <si>
    <t>Calculation of implied volatility of Black Scholes using bisections</t>
  </si>
  <si>
    <t>9.5</t>
  </si>
  <si>
    <t>Calculation of implied volatility of Black Scholes using Newton-Raphso</t>
  </si>
  <si>
    <t>10.1</t>
  </si>
  <si>
    <t>Adjusted Black Scholes value for a Warrant</t>
  </si>
  <si>
    <t>11.1</t>
  </si>
  <si>
    <t>Option price, continous payout from underlying</t>
  </si>
  <si>
    <t>11.2</t>
  </si>
  <si>
    <t>European option price, dividend paying stock</t>
  </si>
  <si>
    <t>11.3</t>
  </si>
  <si>
    <t>Option price, Roll–Geske–Whaley call formula for dividend paying stock</t>
  </si>
  <si>
    <t>11.4</t>
  </si>
  <si>
    <t>Price of European Call option on Futures contract</t>
  </si>
  <si>
    <t>11.5</t>
  </si>
  <si>
    <t>European Futures Call option on currency</t>
  </si>
  <si>
    <t>11.6</t>
  </si>
  <si>
    <t>Price for an american perpetual call option</t>
  </si>
  <si>
    <t>12.1</t>
  </si>
  <si>
    <t>Option price for binomial european</t>
  </si>
  <si>
    <t>12.2</t>
  </si>
  <si>
    <t>Price of American call option using a binomial approximation</t>
  </si>
  <si>
    <t>12.3</t>
  </si>
  <si>
    <t>Delta</t>
  </si>
  <si>
    <t>12.4</t>
  </si>
  <si>
    <t>Hedge parameters</t>
  </si>
  <si>
    <t>12.5</t>
  </si>
  <si>
    <t>Binomial option price with continous payout</t>
  </si>
  <si>
    <t>12.6</t>
  </si>
  <si>
    <t>Binomial option price of stock option where stock pays proportional di</t>
  </si>
  <si>
    <t>12.7</t>
  </si>
  <si>
    <t>Binomial option price of stock option where stock pays discrete divide</t>
  </si>
  <si>
    <t>12.8</t>
  </si>
  <si>
    <t>Pricing an american call on an option on futures using a binomial appr</t>
  </si>
  <si>
    <t>12.9</t>
  </si>
  <si>
    <t>Pricing an american call on an option on currency using a binomial app</t>
  </si>
  <si>
    <t>13.1</t>
  </si>
  <si>
    <t>Explicit finite differences calculation of european put option</t>
  </si>
  <si>
    <t>13.2</t>
  </si>
  <si>
    <t>Explicit finite differences calculation of american put option</t>
  </si>
  <si>
    <t>13.3</t>
  </si>
  <si>
    <t>Calculation of price of American put using implicit finite differences</t>
  </si>
  <si>
    <t>13.4</t>
  </si>
  <si>
    <t>13.5</t>
  </si>
  <si>
    <t>Calculation of price of European put using implicit finite differences</t>
  </si>
  <si>
    <t>14.1</t>
  </si>
  <si>
    <t>Simulating a lognormally distributed random variable</t>
  </si>
  <si>
    <t>14.2</t>
  </si>
  <si>
    <t>European Call option priced by simulation</t>
  </si>
  <si>
    <t>14.3</t>
  </si>
  <si>
    <t>Estimate Delta of European Call option priced by Monte Carlo</t>
  </si>
  <si>
    <t>14.4</t>
  </si>
  <si>
    <t>Payoff call and put options</t>
  </si>
  <si>
    <t>14.5</t>
  </si>
  <si>
    <t>Generic simulation pricing</t>
  </si>
  <si>
    <t>14.6</t>
  </si>
  <si>
    <t>Generic with control variate</t>
  </si>
  <si>
    <t>14.7</t>
  </si>
  <si>
    <t>Generic with antithetic variates</t>
  </si>
  <si>
    <t>14.8</t>
  </si>
  <si>
    <t>Payoff binary options</t>
  </si>
  <si>
    <t>15.1</t>
  </si>
  <si>
    <t>The Johnson (1983) approximation to an american put price</t>
  </si>
  <si>
    <t>15.2</t>
  </si>
  <si>
    <t>Geske Johnson approximation of American put</t>
  </si>
  <si>
    <t>15.3</t>
  </si>
  <si>
    <t>Barone Adesi quadratic approximation to the price of a call option</t>
  </si>
  <si>
    <t>15.4</t>
  </si>
  <si>
    <t>Approximation of American Call due to Bjerksund and Stensland (1993)</t>
  </si>
  <si>
    <t>15.5</t>
  </si>
  <si>
    <t>Approximation of American put due to Bjerksund and Stensland (1993)</t>
  </si>
  <si>
    <t>16.1</t>
  </si>
  <si>
    <t>Binomial approximation to Bermudan put option</t>
  </si>
  <si>
    <t>16.2</t>
  </si>
  <si>
    <t>Analytical price of an Asian geometric average price call</t>
  </si>
  <si>
    <t>16.3</t>
  </si>
  <si>
    <t>Price of lookback call option</t>
  </si>
  <si>
    <t>16.4</t>
  </si>
  <si>
    <t>Simulating a sequence of lognormally distributed variables</t>
  </si>
  <si>
    <t>16.5</t>
  </si>
  <si>
    <t>Generic routine for pricing European options</t>
  </si>
  <si>
    <t>16.6</t>
  </si>
  <si>
    <t>Payoff function for Asian call option</t>
  </si>
  <si>
    <t>16.7</t>
  </si>
  <si>
    <t>Payoff function for lookback option</t>
  </si>
  <si>
    <t>16.8</t>
  </si>
  <si>
    <t>Control Variate</t>
  </si>
  <si>
    <t>17.1</t>
  </si>
  <si>
    <t>Binomial price of American Call</t>
  </si>
  <si>
    <t>17.2</t>
  </si>
  <si>
    <t>Generic binomial calculation</t>
  </si>
  <si>
    <t>17.3</t>
  </si>
  <si>
    <t>Payoff definitions for put and call options</t>
  </si>
  <si>
    <t>17.4</t>
  </si>
  <si>
    <t>Payoff definitions for binomial options</t>
  </si>
  <si>
    <t>17.5</t>
  </si>
  <si>
    <t>Generic binomial calculation of delta</t>
  </si>
  <si>
    <t>18.1</t>
  </si>
  <si>
    <t>Price of american put using a trinomial tree</t>
  </si>
  <si>
    <t>19.1</t>
  </si>
  <si>
    <t>Mertons jump diffusion formula</t>
  </si>
  <si>
    <t>19.2</t>
  </si>
  <si>
    <t>Hestons pricing formula for a stochastic volatility model</t>
  </si>
  <si>
    <t>20.1</t>
  </si>
  <si>
    <t>Black scholes price for European put option on zero coupon bond</t>
  </si>
  <si>
    <t>20.2</t>
  </si>
  <si>
    <t>Black scholes price for European put option on coupon bond</t>
  </si>
  <si>
    <t>20.3</t>
  </si>
  <si>
    <t>Binomial approximation to american put bond option price</t>
  </si>
  <si>
    <t>22.1</t>
  </si>
  <si>
    <t>Calculation of the Nelson and Siegel (1987) term structure model</t>
  </si>
  <si>
    <t>22.2</t>
  </si>
  <si>
    <t>Defining a term structure class wrapper for the Nelson Siegel approxim</t>
  </si>
  <si>
    <t>22.3</t>
  </si>
  <si>
    <t>Calculation of Svensson’s extended Nelson and Siegel (1987) term struc</t>
  </si>
  <si>
    <t>22.4</t>
  </si>
  <si>
    <t>Defining a term structure class wrapper for the Svensson model</t>
  </si>
  <si>
    <t>22.5</t>
  </si>
  <si>
    <t>Approximating a discount function using a cubic spline</t>
  </si>
  <si>
    <t>22.6</t>
  </si>
  <si>
    <t>Term structure class wrapping the cubic spline approximation</t>
  </si>
  <si>
    <t>22.7</t>
  </si>
  <si>
    <t>Calculation of the discount factor using the Cox et al. (1985) model</t>
  </si>
  <si>
    <t>22.8</t>
  </si>
  <si>
    <t>Class definition, Cox et al. (1985) model</t>
  </si>
  <si>
    <t>22.9</t>
  </si>
  <si>
    <t>Calculating a discount factor using the Vasicek functional form</t>
  </si>
  <si>
    <t>22.10</t>
  </si>
  <si>
    <t>Class definition, Vasicek (1977) model</t>
  </si>
  <si>
    <t>23.1</t>
  </si>
  <si>
    <t>RB binomial model for European call on zero coupon bond</t>
  </si>
  <si>
    <t>24.1</t>
  </si>
  <si>
    <t>Building interest rate tree</t>
  </si>
  <si>
    <t>24.2</t>
  </si>
  <si>
    <t>Valuing cash flows</t>
  </si>
  <si>
    <t>24.3</t>
  </si>
  <si>
    <t>Valuing callable bond</t>
  </si>
  <si>
    <t>25.1</t>
  </si>
  <si>
    <t>Term structure class for Ho-Lee</t>
  </si>
  <si>
    <t>25.2</t>
  </si>
  <si>
    <t>Term structure class for Ho-Lee, calculation of discount function</t>
  </si>
  <si>
    <t>25.3</t>
  </si>
  <si>
    <t>Building a term structure tree</t>
  </si>
  <si>
    <t>25.4</t>
  </si>
  <si>
    <t>Pricing of European call option on straight bond using Ho-Lee</t>
  </si>
  <si>
    <t>26.1</t>
  </si>
  <si>
    <t>Bond option pricing using the Vasicek model</t>
  </si>
  <si>
    <t>A.1</t>
  </si>
  <si>
    <t>The normal distribution function</t>
  </si>
  <si>
    <t>A.2</t>
  </si>
  <si>
    <t>The cumulative normal</t>
  </si>
  <si>
    <t>A.3</t>
  </si>
  <si>
    <t>Approximation to the cumulative bivariate normal</t>
  </si>
  <si>
    <t>A.4</t>
  </si>
  <si>
    <t>Pseudorandom numbers from an uniform ❬✵❀ ✶✮ distribution</t>
  </si>
  <si>
    <t>A.5</t>
  </si>
  <si>
    <t>Pseudorandom numbers from a normal ✭✵❀ ✶✮ distribution</t>
  </si>
  <si>
    <t>C.1</t>
  </si>
  <si>
    <t>Approximating ◆✸✭✮ using the method of Geske and Johnson (1984)</t>
  </si>
  <si>
    <t>Title</t>
  </si>
  <si>
    <t>Page</t>
  </si>
  <si>
    <t>Module</t>
  </si>
  <si>
    <t>Name</t>
  </si>
  <si>
    <t>power</t>
  </si>
  <si>
    <t>bonds_price_discrete</t>
  </si>
  <si>
    <t>bonds_yield_to_maturity_discrete</t>
  </si>
  <si>
    <t>cash_flow_pv_discrete</t>
  </si>
  <si>
    <t>cash_flow_irr_discrete</t>
  </si>
  <si>
    <t>cash_flow_unique_irr</t>
  </si>
  <si>
    <t>cash_flow_pv</t>
  </si>
  <si>
    <t>bonds_duration_discrete</t>
  </si>
  <si>
    <t>bonds_duration_macaulay_discrete</t>
  </si>
  <si>
    <t>bonds_duration_modified_discrete</t>
  </si>
  <si>
    <t>bonds_convexity_discrete</t>
  </si>
  <si>
    <t>Bond price calculation with continously compounded interest and a flat term structure</t>
  </si>
  <si>
    <t>bonds_price</t>
  </si>
  <si>
    <t>bonds_duration</t>
  </si>
  <si>
    <t>bonds_duration_macaulay</t>
  </si>
  <si>
    <t>bonds_convexity</t>
  </si>
  <si>
    <t>term_structure_forward_rate_from_yields</t>
  </si>
  <si>
    <t>NO</t>
  </si>
  <si>
    <t>option_price_put_bermudan_binomial</t>
  </si>
  <si>
    <t>option_price_european_loopback_call</t>
  </si>
  <si>
    <t>option_price_asian_geometric_average_price_call</t>
  </si>
  <si>
    <t>simulate_lognormal_random_variable</t>
  </si>
  <si>
    <t>Needs attention</t>
  </si>
  <si>
    <t>Remarks</t>
  </si>
  <si>
    <t>option_price_black_scholes</t>
  </si>
  <si>
    <t>option_price_delta_call_black_scholes</t>
  </si>
  <si>
    <t>option_price_partials_call_black_scholes</t>
  </si>
  <si>
    <t>option_price_implied_volatility_call_black_scholes_bisections</t>
  </si>
  <si>
    <t>option_price_implied_volatility_call_black_scholes_newton</t>
  </si>
  <si>
    <t>warrant_price_adjusted_black_scholes</t>
  </si>
  <si>
    <t>option_price_european_call_payout</t>
  </si>
  <si>
    <t>option_price_european_call_dividends</t>
  </si>
  <si>
    <t>CBN</t>
  </si>
  <si>
    <t>A</t>
  </si>
  <si>
    <t>n</t>
  </si>
  <si>
    <t>random_uniform_0_1</t>
  </si>
  <si>
    <t>random_normal</t>
  </si>
  <si>
    <t>option_price_american_call_one_dividend</t>
  </si>
  <si>
    <t>futures_option_price_european_black</t>
  </si>
  <si>
    <t>currency_option_price_call_european</t>
  </si>
  <si>
    <t>option_price_american_perpetual_call</t>
  </si>
  <si>
    <t>option_price_call_european_binomial</t>
  </si>
  <si>
    <t>option_price_call_american_binomial</t>
  </si>
  <si>
    <t>option_price_partials_american_call_binomial</t>
  </si>
  <si>
    <t>option_price_delta_americal_call_binomial</t>
  </si>
  <si>
    <t>option_price_delta_call_european_simulated</t>
  </si>
  <si>
    <t>option_price_call_european_simulated</t>
  </si>
  <si>
    <t>payoff_call, payoff_put</t>
  </si>
  <si>
    <t>derivative_price_simulate_european_option_generic</t>
  </si>
</sst>
</file>

<file path=xl/styles.xml><?xml version="1.0" encoding="utf-8"?>
<styleSheet xmlns="http://schemas.openxmlformats.org/spreadsheetml/2006/main">
  <fonts count="2"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2">
    <cellStyle name="Normalny" xfId="0" builtinId="0"/>
    <cellStyle name="Procentowy" xfId="1" builtinId="5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F119"/>
  <sheetViews>
    <sheetView tabSelected="1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C29" sqref="C29"/>
    </sheetView>
  </sheetViews>
  <sheetFormatPr defaultRowHeight="13.8"/>
  <cols>
    <col min="2" max="2" width="60.19921875" bestFit="1" customWidth="1"/>
    <col min="5" max="5" width="50.69921875" bestFit="1" customWidth="1"/>
    <col min="6" max="6" width="13.59765625" bestFit="1" customWidth="1"/>
  </cols>
  <sheetData>
    <row r="1" spans="1:6">
      <c r="C1">
        <f>COUNT(C3:C119)</f>
        <v>117</v>
      </c>
      <c r="D1">
        <f>COUNTA(D3:D119)</f>
        <v>44</v>
      </c>
      <c r="E1" s="1">
        <f>D1/C1</f>
        <v>0.37606837606837606</v>
      </c>
    </row>
    <row r="2" spans="1:6">
      <c r="A2" t="s">
        <v>252</v>
      </c>
      <c r="B2" t="s">
        <v>231</v>
      </c>
      <c r="C2" t="s">
        <v>232</v>
      </c>
      <c r="D2" t="s">
        <v>233</v>
      </c>
      <c r="E2" t="s">
        <v>234</v>
      </c>
      <c r="F2" t="s">
        <v>258</v>
      </c>
    </row>
    <row r="3" spans="1:6">
      <c r="A3" t="s">
        <v>0</v>
      </c>
      <c r="B3" t="s">
        <v>1</v>
      </c>
      <c r="C3">
        <v>9</v>
      </c>
      <c r="D3">
        <v>1</v>
      </c>
      <c r="E3" t="s">
        <v>235</v>
      </c>
    </row>
    <row r="4" spans="1:6">
      <c r="A4" t="s">
        <v>2</v>
      </c>
      <c r="B4" t="s">
        <v>3</v>
      </c>
      <c r="C4">
        <v>12</v>
      </c>
    </row>
    <row r="5" spans="1:6">
      <c r="A5" t="s">
        <v>4</v>
      </c>
      <c r="B5" t="s">
        <v>5</v>
      </c>
      <c r="C5">
        <v>13</v>
      </c>
    </row>
    <row r="6" spans="1:6">
      <c r="A6" t="s">
        <v>6</v>
      </c>
      <c r="B6" t="s">
        <v>7</v>
      </c>
      <c r="C6">
        <v>14</v>
      </c>
    </row>
    <row r="7" spans="1:6">
      <c r="A7" t="s">
        <v>8</v>
      </c>
      <c r="B7" t="s">
        <v>9</v>
      </c>
      <c r="C7">
        <v>27</v>
      </c>
      <c r="D7">
        <v>3</v>
      </c>
      <c r="E7" t="s">
        <v>238</v>
      </c>
    </row>
    <row r="8" spans="1:6">
      <c r="A8" t="s">
        <v>10</v>
      </c>
      <c r="B8" t="s">
        <v>11</v>
      </c>
      <c r="C8">
        <v>31</v>
      </c>
      <c r="D8">
        <v>3</v>
      </c>
      <c r="E8" t="s">
        <v>239</v>
      </c>
    </row>
    <row r="9" spans="1:6">
      <c r="A9" t="s">
        <v>12</v>
      </c>
      <c r="B9" t="s">
        <v>13</v>
      </c>
      <c r="C9">
        <v>33</v>
      </c>
      <c r="D9">
        <v>3</v>
      </c>
      <c r="E9" t="s">
        <v>240</v>
      </c>
    </row>
    <row r="10" spans="1:6">
      <c r="A10" t="s">
        <v>14</v>
      </c>
      <c r="B10" t="s">
        <v>15</v>
      </c>
      <c r="C10">
        <v>35</v>
      </c>
      <c r="D10">
        <v>3</v>
      </c>
      <c r="E10" t="s">
        <v>241</v>
      </c>
    </row>
    <row r="11" spans="1:6">
      <c r="A11" t="s">
        <v>16</v>
      </c>
      <c r="B11" t="s">
        <v>17</v>
      </c>
      <c r="C11">
        <v>38</v>
      </c>
      <c r="D11">
        <v>4</v>
      </c>
      <c r="E11" t="s">
        <v>236</v>
      </c>
    </row>
    <row r="12" spans="1:6">
      <c r="A12" t="s">
        <v>18</v>
      </c>
      <c r="B12" t="s">
        <v>19</v>
      </c>
      <c r="C12">
        <v>39</v>
      </c>
      <c r="D12">
        <v>4</v>
      </c>
      <c r="E12" t="s">
        <v>237</v>
      </c>
    </row>
    <row r="13" spans="1:6">
      <c r="A13" t="s">
        <v>20</v>
      </c>
      <c r="B13" t="s">
        <v>21</v>
      </c>
      <c r="C13">
        <v>41</v>
      </c>
      <c r="D13">
        <v>4</v>
      </c>
      <c r="E13" t="s">
        <v>242</v>
      </c>
    </row>
    <row r="14" spans="1:6">
      <c r="A14" t="s">
        <v>22</v>
      </c>
      <c r="B14" t="s">
        <v>23</v>
      </c>
      <c r="C14">
        <v>42</v>
      </c>
      <c r="D14">
        <v>4</v>
      </c>
      <c r="E14" t="s">
        <v>243</v>
      </c>
    </row>
    <row r="15" spans="1:6">
      <c r="A15" t="s">
        <v>24</v>
      </c>
      <c r="B15" t="s">
        <v>25</v>
      </c>
      <c r="C15">
        <v>43</v>
      </c>
      <c r="D15">
        <v>4</v>
      </c>
      <c r="E15" t="s">
        <v>244</v>
      </c>
    </row>
    <row r="16" spans="1:6">
      <c r="A16" t="s">
        <v>26</v>
      </c>
      <c r="B16" t="s">
        <v>27</v>
      </c>
      <c r="C16">
        <v>44</v>
      </c>
      <c r="D16">
        <v>4</v>
      </c>
      <c r="E16" t="s">
        <v>245</v>
      </c>
    </row>
    <row r="17" spans="1:5">
      <c r="A17" t="s">
        <v>28</v>
      </c>
      <c r="B17" t="s">
        <v>246</v>
      </c>
      <c r="C17">
        <v>47</v>
      </c>
      <c r="D17">
        <v>4</v>
      </c>
      <c r="E17" t="s">
        <v>247</v>
      </c>
    </row>
    <row r="18" spans="1:5">
      <c r="A18" t="s">
        <v>29</v>
      </c>
      <c r="B18" t="s">
        <v>30</v>
      </c>
      <c r="C18">
        <v>48</v>
      </c>
      <c r="D18">
        <v>4</v>
      </c>
      <c r="E18" t="s">
        <v>248</v>
      </c>
    </row>
    <row r="19" spans="1:5">
      <c r="A19" t="s">
        <v>31</v>
      </c>
      <c r="B19" t="s">
        <v>32</v>
      </c>
      <c r="C19">
        <v>48</v>
      </c>
      <c r="D19">
        <v>4</v>
      </c>
      <c r="E19" t="s">
        <v>249</v>
      </c>
    </row>
    <row r="20" spans="1:5">
      <c r="A20" t="s">
        <v>33</v>
      </c>
      <c r="B20" t="s">
        <v>34</v>
      </c>
      <c r="C20">
        <v>48</v>
      </c>
      <c r="D20">
        <v>4</v>
      </c>
      <c r="E20" t="s">
        <v>250</v>
      </c>
    </row>
    <row r="21" spans="1:5">
      <c r="A21" t="s">
        <v>35</v>
      </c>
      <c r="B21" t="s">
        <v>36</v>
      </c>
      <c r="C21">
        <v>53</v>
      </c>
      <c r="D21">
        <v>5</v>
      </c>
      <c r="E21" t="s">
        <v>251</v>
      </c>
    </row>
    <row r="22" spans="1:5">
      <c r="A22" t="s">
        <v>37</v>
      </c>
      <c r="B22" t="s">
        <v>38</v>
      </c>
      <c r="C22">
        <v>56</v>
      </c>
    </row>
    <row r="23" spans="1:5">
      <c r="A23" t="s">
        <v>39</v>
      </c>
      <c r="B23" t="s">
        <v>40</v>
      </c>
      <c r="C23">
        <v>57</v>
      </c>
    </row>
    <row r="24" spans="1:5">
      <c r="A24" t="s">
        <v>41</v>
      </c>
      <c r="B24" t="s">
        <v>42</v>
      </c>
      <c r="C24">
        <v>60</v>
      </c>
    </row>
    <row r="25" spans="1:5">
      <c r="A25" t="s">
        <v>43</v>
      </c>
      <c r="B25" t="s">
        <v>44</v>
      </c>
      <c r="C25">
        <v>62</v>
      </c>
    </row>
    <row r="26" spans="1:5">
      <c r="A26" t="s">
        <v>45</v>
      </c>
      <c r="B26" t="s">
        <v>46</v>
      </c>
      <c r="C26">
        <v>64</v>
      </c>
    </row>
    <row r="27" spans="1:5">
      <c r="A27" t="s">
        <v>47</v>
      </c>
      <c r="B27" t="s">
        <v>48</v>
      </c>
      <c r="C27">
        <v>65</v>
      </c>
    </row>
    <row r="28" spans="1:5">
      <c r="A28" t="s">
        <v>49</v>
      </c>
      <c r="B28" t="s">
        <v>50</v>
      </c>
      <c r="C28">
        <v>65</v>
      </c>
    </row>
    <row r="29" spans="1:5">
      <c r="A29" t="s">
        <v>51</v>
      </c>
      <c r="B29" t="s">
        <v>52</v>
      </c>
      <c r="C29">
        <v>77</v>
      </c>
    </row>
    <row r="30" spans="1:5">
      <c r="A30" t="s">
        <v>53</v>
      </c>
      <c r="B30" t="s">
        <v>54</v>
      </c>
      <c r="C30">
        <v>78</v>
      </c>
    </row>
    <row r="31" spans="1:5">
      <c r="A31" t="s">
        <v>55</v>
      </c>
      <c r="B31" t="s">
        <v>56</v>
      </c>
      <c r="C31">
        <v>79</v>
      </c>
    </row>
    <row r="32" spans="1:5">
      <c r="A32" t="s">
        <v>57</v>
      </c>
      <c r="B32" t="s">
        <v>56</v>
      </c>
      <c r="C32">
        <v>80</v>
      </c>
    </row>
    <row r="33" spans="1:6">
      <c r="A33" t="s">
        <v>58</v>
      </c>
      <c r="B33" t="s">
        <v>59</v>
      </c>
      <c r="C33">
        <v>81</v>
      </c>
    </row>
    <row r="34" spans="1:6">
      <c r="A34" t="s">
        <v>60</v>
      </c>
      <c r="B34" t="s">
        <v>61</v>
      </c>
      <c r="C34">
        <v>84</v>
      </c>
    </row>
    <row r="35" spans="1:6">
      <c r="A35" t="s">
        <v>62</v>
      </c>
      <c r="B35" t="s">
        <v>63</v>
      </c>
      <c r="C35">
        <v>87</v>
      </c>
    </row>
    <row r="36" spans="1:6">
      <c r="A36" t="s">
        <v>64</v>
      </c>
      <c r="B36" t="s">
        <v>65</v>
      </c>
      <c r="C36">
        <v>88</v>
      </c>
    </row>
    <row r="37" spans="1:6">
      <c r="A37" t="s">
        <v>66</v>
      </c>
      <c r="B37" t="s">
        <v>67</v>
      </c>
      <c r="C37">
        <v>90</v>
      </c>
      <c r="D37">
        <v>9</v>
      </c>
      <c r="E37" t="s">
        <v>259</v>
      </c>
    </row>
    <row r="38" spans="1:6">
      <c r="A38" t="s">
        <v>68</v>
      </c>
      <c r="B38" t="s">
        <v>69</v>
      </c>
      <c r="C38">
        <v>94</v>
      </c>
      <c r="D38">
        <v>9</v>
      </c>
      <c r="E38" t="s">
        <v>260</v>
      </c>
    </row>
    <row r="39" spans="1:6">
      <c r="A39" t="s">
        <v>70</v>
      </c>
      <c r="B39" t="s">
        <v>71</v>
      </c>
      <c r="C39">
        <v>95</v>
      </c>
      <c r="D39">
        <v>9</v>
      </c>
      <c r="E39" t="s">
        <v>261</v>
      </c>
    </row>
    <row r="40" spans="1:6">
      <c r="A40" t="s">
        <v>72</v>
      </c>
      <c r="B40" t="s">
        <v>73</v>
      </c>
      <c r="C40">
        <v>96</v>
      </c>
      <c r="D40">
        <v>9</v>
      </c>
      <c r="E40" t="s">
        <v>262</v>
      </c>
      <c r="F40" t="s">
        <v>257</v>
      </c>
    </row>
    <row r="41" spans="1:6">
      <c r="A41" t="s">
        <v>74</v>
      </c>
      <c r="B41" t="s">
        <v>75</v>
      </c>
      <c r="C41">
        <v>97</v>
      </c>
      <c r="D41">
        <v>9</v>
      </c>
      <c r="E41" t="s">
        <v>263</v>
      </c>
    </row>
    <row r="42" spans="1:6">
      <c r="A42" t="s">
        <v>76</v>
      </c>
      <c r="B42" t="s">
        <v>77</v>
      </c>
      <c r="C42">
        <v>101</v>
      </c>
      <c r="D42">
        <v>10</v>
      </c>
      <c r="E42" t="s">
        <v>264</v>
      </c>
      <c r="F42" t="s">
        <v>257</v>
      </c>
    </row>
    <row r="43" spans="1:6">
      <c r="A43" t="s">
        <v>78</v>
      </c>
      <c r="B43" t="s">
        <v>79</v>
      </c>
      <c r="C43">
        <v>103</v>
      </c>
      <c r="D43">
        <v>11</v>
      </c>
      <c r="E43" t="s">
        <v>265</v>
      </c>
    </row>
    <row r="44" spans="1:6">
      <c r="A44" t="s">
        <v>80</v>
      </c>
      <c r="B44" t="s">
        <v>81</v>
      </c>
      <c r="C44">
        <v>104</v>
      </c>
      <c r="D44">
        <v>11</v>
      </c>
      <c r="E44" t="s">
        <v>266</v>
      </c>
    </row>
    <row r="45" spans="1:6">
      <c r="A45" t="s">
        <v>82</v>
      </c>
      <c r="B45" t="s">
        <v>83</v>
      </c>
      <c r="C45">
        <v>107</v>
      </c>
      <c r="D45">
        <v>11</v>
      </c>
      <c r="E45" t="s">
        <v>272</v>
      </c>
      <c r="F45" t="s">
        <v>257</v>
      </c>
    </row>
    <row r="46" spans="1:6">
      <c r="A46" t="s">
        <v>84</v>
      </c>
      <c r="B46" t="s">
        <v>85</v>
      </c>
      <c r="C46">
        <v>108</v>
      </c>
      <c r="D46">
        <v>11</v>
      </c>
      <c r="E46" t="s">
        <v>273</v>
      </c>
      <c r="F46" t="s">
        <v>257</v>
      </c>
    </row>
    <row r="47" spans="1:6">
      <c r="A47" t="s">
        <v>86</v>
      </c>
      <c r="B47" t="s">
        <v>87</v>
      </c>
      <c r="C47">
        <v>109</v>
      </c>
      <c r="D47">
        <v>11</v>
      </c>
      <c r="E47" t="s">
        <v>274</v>
      </c>
    </row>
    <row r="48" spans="1:6">
      <c r="A48" t="s">
        <v>88</v>
      </c>
      <c r="B48" t="s">
        <v>89</v>
      </c>
      <c r="C48">
        <v>110</v>
      </c>
      <c r="D48">
        <v>11</v>
      </c>
      <c r="E48" t="s">
        <v>275</v>
      </c>
    </row>
    <row r="49" spans="1:6">
      <c r="A49" t="s">
        <v>90</v>
      </c>
      <c r="B49" t="s">
        <v>91</v>
      </c>
      <c r="C49">
        <v>114</v>
      </c>
      <c r="D49">
        <v>12</v>
      </c>
      <c r="E49" t="s">
        <v>276</v>
      </c>
    </row>
    <row r="50" spans="1:6">
      <c r="A50" t="s">
        <v>92</v>
      </c>
      <c r="B50" t="s">
        <v>93</v>
      </c>
      <c r="C50">
        <v>115</v>
      </c>
      <c r="D50">
        <v>12</v>
      </c>
      <c r="E50" t="s">
        <v>277</v>
      </c>
      <c r="F50" t="s">
        <v>257</v>
      </c>
    </row>
    <row r="51" spans="1:6">
      <c r="A51" t="s">
        <v>94</v>
      </c>
      <c r="B51" t="s">
        <v>95</v>
      </c>
      <c r="C51">
        <v>120</v>
      </c>
      <c r="D51">
        <v>12</v>
      </c>
      <c r="E51" t="s">
        <v>279</v>
      </c>
      <c r="F51" t="s">
        <v>257</v>
      </c>
    </row>
    <row r="52" spans="1:6">
      <c r="A52" t="s">
        <v>96</v>
      </c>
      <c r="B52" t="s">
        <v>97</v>
      </c>
      <c r="C52">
        <v>121</v>
      </c>
      <c r="D52">
        <v>12</v>
      </c>
      <c r="E52" t="s">
        <v>278</v>
      </c>
      <c r="F52" t="s">
        <v>257</v>
      </c>
    </row>
    <row r="53" spans="1:6">
      <c r="A53" t="s">
        <v>98</v>
      </c>
      <c r="B53" t="s">
        <v>99</v>
      </c>
      <c r="C53">
        <v>123</v>
      </c>
    </row>
    <row r="54" spans="1:6">
      <c r="A54" t="s">
        <v>100</v>
      </c>
      <c r="B54" t="s">
        <v>101</v>
      </c>
      <c r="C54">
        <v>125</v>
      </c>
    </row>
    <row r="55" spans="1:6">
      <c r="A55" t="s">
        <v>102</v>
      </c>
      <c r="B55" t="s">
        <v>103</v>
      </c>
      <c r="C55">
        <v>127</v>
      </c>
    </row>
    <row r="56" spans="1:6">
      <c r="A56" t="s">
        <v>104</v>
      </c>
      <c r="B56" t="s">
        <v>105</v>
      </c>
      <c r="C56">
        <v>129</v>
      </c>
    </row>
    <row r="57" spans="1:6">
      <c r="A57" t="s">
        <v>106</v>
      </c>
      <c r="B57" t="s">
        <v>107</v>
      </c>
      <c r="C57">
        <v>130</v>
      </c>
    </row>
    <row r="58" spans="1:6">
      <c r="A58" t="s">
        <v>108</v>
      </c>
      <c r="B58" t="s">
        <v>109</v>
      </c>
      <c r="C58">
        <v>133</v>
      </c>
    </row>
    <row r="59" spans="1:6">
      <c r="A59" t="s">
        <v>110</v>
      </c>
      <c r="B59" t="s">
        <v>111</v>
      </c>
      <c r="C59">
        <v>134</v>
      </c>
    </row>
    <row r="60" spans="1:6">
      <c r="A60" t="s">
        <v>112</v>
      </c>
      <c r="B60" t="s">
        <v>113</v>
      </c>
      <c r="C60">
        <v>138</v>
      </c>
    </row>
    <row r="61" spans="1:6">
      <c r="A61" t="s">
        <v>114</v>
      </c>
      <c r="B61" t="s">
        <v>113</v>
      </c>
      <c r="C61">
        <v>139</v>
      </c>
    </row>
    <row r="62" spans="1:6">
      <c r="A62" t="s">
        <v>115</v>
      </c>
      <c r="B62" t="s">
        <v>116</v>
      </c>
      <c r="C62">
        <v>140</v>
      </c>
    </row>
    <row r="63" spans="1:6">
      <c r="A63" t="s">
        <v>117</v>
      </c>
      <c r="B63" t="s">
        <v>118</v>
      </c>
      <c r="C63">
        <v>143</v>
      </c>
      <c r="D63">
        <v>14</v>
      </c>
      <c r="E63" t="s">
        <v>256</v>
      </c>
      <c r="F63" t="s">
        <v>257</v>
      </c>
    </row>
    <row r="64" spans="1:6">
      <c r="A64" t="s">
        <v>119</v>
      </c>
      <c r="B64" t="s">
        <v>120</v>
      </c>
      <c r="C64">
        <v>144</v>
      </c>
      <c r="D64">
        <v>14</v>
      </c>
      <c r="E64" t="s">
        <v>281</v>
      </c>
      <c r="F64" t="s">
        <v>257</v>
      </c>
    </row>
    <row r="65" spans="1:6">
      <c r="A65" t="s">
        <v>121</v>
      </c>
      <c r="B65" t="s">
        <v>122</v>
      </c>
      <c r="C65">
        <v>145</v>
      </c>
      <c r="D65">
        <v>14</v>
      </c>
      <c r="E65" t="s">
        <v>280</v>
      </c>
      <c r="F65" t="s">
        <v>257</v>
      </c>
    </row>
    <row r="66" spans="1:6">
      <c r="A66" t="s">
        <v>123</v>
      </c>
      <c r="B66" t="s">
        <v>124</v>
      </c>
      <c r="C66">
        <v>146</v>
      </c>
      <c r="D66">
        <v>14</v>
      </c>
      <c r="E66" t="s">
        <v>282</v>
      </c>
    </row>
    <row r="67" spans="1:6">
      <c r="A67" t="s">
        <v>125</v>
      </c>
      <c r="B67" t="s">
        <v>126</v>
      </c>
      <c r="C67">
        <v>146</v>
      </c>
      <c r="D67">
        <v>14</v>
      </c>
      <c r="E67" t="s">
        <v>283</v>
      </c>
      <c r="F67" t="s">
        <v>257</v>
      </c>
    </row>
    <row r="68" spans="1:6">
      <c r="A68" t="s">
        <v>127</v>
      </c>
      <c r="B68" t="s">
        <v>128</v>
      </c>
      <c r="C68">
        <v>148</v>
      </c>
    </row>
    <row r="69" spans="1:6">
      <c r="A69" t="s">
        <v>129</v>
      </c>
      <c r="B69" t="s">
        <v>130</v>
      </c>
      <c r="C69">
        <v>149</v>
      </c>
    </row>
    <row r="70" spans="1:6">
      <c r="A70" t="s">
        <v>131</v>
      </c>
      <c r="B70" t="s">
        <v>132</v>
      </c>
      <c r="C70">
        <v>151</v>
      </c>
    </row>
    <row r="71" spans="1:6">
      <c r="A71" t="s">
        <v>133</v>
      </c>
      <c r="B71" t="s">
        <v>134</v>
      </c>
      <c r="C71">
        <v>155</v>
      </c>
    </row>
    <row r="72" spans="1:6">
      <c r="A72" t="s">
        <v>135</v>
      </c>
      <c r="B72" t="s">
        <v>136</v>
      </c>
      <c r="C72">
        <v>158</v>
      </c>
    </row>
    <row r="73" spans="1:6">
      <c r="A73" t="s">
        <v>137</v>
      </c>
      <c r="B73" t="s">
        <v>138</v>
      </c>
      <c r="C73">
        <v>161</v>
      </c>
    </row>
    <row r="74" spans="1:6">
      <c r="A74" t="s">
        <v>139</v>
      </c>
      <c r="B74" t="s">
        <v>140</v>
      </c>
      <c r="C74">
        <v>164</v>
      </c>
    </row>
    <row r="75" spans="1:6">
      <c r="A75" t="s">
        <v>141</v>
      </c>
      <c r="B75" t="s">
        <v>142</v>
      </c>
      <c r="C75">
        <v>164</v>
      </c>
    </row>
    <row r="76" spans="1:6">
      <c r="A76" t="s">
        <v>143</v>
      </c>
      <c r="B76" t="s">
        <v>144</v>
      </c>
      <c r="C76">
        <v>168</v>
      </c>
      <c r="D76">
        <v>16</v>
      </c>
      <c r="E76" t="s">
        <v>253</v>
      </c>
    </row>
    <row r="77" spans="1:6">
      <c r="A77" t="s">
        <v>145</v>
      </c>
      <c r="B77" t="s">
        <v>146</v>
      </c>
      <c r="C77">
        <v>169</v>
      </c>
      <c r="D77">
        <v>16</v>
      </c>
      <c r="E77" t="s">
        <v>255</v>
      </c>
    </row>
    <row r="78" spans="1:6">
      <c r="A78" t="s">
        <v>147</v>
      </c>
      <c r="B78" t="s">
        <v>148</v>
      </c>
      <c r="C78">
        <v>170</v>
      </c>
      <c r="D78">
        <v>16</v>
      </c>
      <c r="E78" t="s">
        <v>254</v>
      </c>
    </row>
    <row r="79" spans="1:6">
      <c r="A79" t="s">
        <v>149</v>
      </c>
      <c r="B79" t="s">
        <v>150</v>
      </c>
      <c r="C79">
        <v>173</v>
      </c>
    </row>
    <row r="80" spans="1:6">
      <c r="A80" t="s">
        <v>151</v>
      </c>
      <c r="B80" t="s">
        <v>152</v>
      </c>
      <c r="C80">
        <v>173</v>
      </c>
    </row>
    <row r="81" spans="1:3">
      <c r="A81" t="s">
        <v>153</v>
      </c>
      <c r="B81" t="s">
        <v>154</v>
      </c>
      <c r="C81">
        <v>174</v>
      </c>
    </row>
    <row r="82" spans="1:3">
      <c r="A82" t="s">
        <v>155</v>
      </c>
      <c r="B82" t="s">
        <v>156</v>
      </c>
      <c r="C82">
        <v>174</v>
      </c>
    </row>
    <row r="83" spans="1:3">
      <c r="A83" t="s">
        <v>157</v>
      </c>
      <c r="B83" t="s">
        <v>158</v>
      </c>
      <c r="C83">
        <v>175</v>
      </c>
    </row>
    <row r="84" spans="1:3">
      <c r="A84" t="s">
        <v>159</v>
      </c>
      <c r="B84" t="s">
        <v>160</v>
      </c>
      <c r="C84">
        <v>178</v>
      </c>
    </row>
    <row r="85" spans="1:3">
      <c r="A85" t="s">
        <v>161</v>
      </c>
      <c r="B85" t="s">
        <v>162</v>
      </c>
      <c r="C85">
        <v>179</v>
      </c>
    </row>
    <row r="86" spans="1:3">
      <c r="A86" t="s">
        <v>163</v>
      </c>
      <c r="B86" t="s">
        <v>164</v>
      </c>
      <c r="C86">
        <v>180</v>
      </c>
    </row>
    <row r="87" spans="1:3">
      <c r="A87" t="s">
        <v>165</v>
      </c>
      <c r="B87" t="s">
        <v>166</v>
      </c>
      <c r="C87">
        <v>181</v>
      </c>
    </row>
    <row r="88" spans="1:3">
      <c r="A88" t="s">
        <v>167</v>
      </c>
      <c r="B88" t="s">
        <v>168</v>
      </c>
      <c r="C88">
        <v>182</v>
      </c>
    </row>
    <row r="89" spans="1:3">
      <c r="A89" t="s">
        <v>169</v>
      </c>
      <c r="B89" t="s">
        <v>170</v>
      </c>
      <c r="C89">
        <v>184</v>
      </c>
    </row>
    <row r="90" spans="1:3">
      <c r="A90" t="s">
        <v>171</v>
      </c>
      <c r="B90" t="s">
        <v>172</v>
      </c>
      <c r="C90">
        <v>188</v>
      </c>
    </row>
    <row r="91" spans="1:3">
      <c r="A91" t="s">
        <v>173</v>
      </c>
      <c r="B91" t="s">
        <v>174</v>
      </c>
      <c r="C91">
        <v>191</v>
      </c>
    </row>
    <row r="92" spans="1:3">
      <c r="A92" t="s">
        <v>175</v>
      </c>
      <c r="B92" t="s">
        <v>176</v>
      </c>
      <c r="C92">
        <v>192</v>
      </c>
    </row>
    <row r="93" spans="1:3">
      <c r="A93" t="s">
        <v>177</v>
      </c>
      <c r="B93" t="s">
        <v>178</v>
      </c>
      <c r="C93">
        <v>193</v>
      </c>
    </row>
    <row r="94" spans="1:3">
      <c r="A94" t="s">
        <v>179</v>
      </c>
      <c r="B94" t="s">
        <v>180</v>
      </c>
      <c r="C94">
        <v>194</v>
      </c>
    </row>
    <row r="95" spans="1:3">
      <c r="A95" t="s">
        <v>181</v>
      </c>
      <c r="B95" t="s">
        <v>182</v>
      </c>
      <c r="C95">
        <v>199</v>
      </c>
    </row>
    <row r="96" spans="1:3">
      <c r="A96" t="s">
        <v>183</v>
      </c>
      <c r="B96" t="s">
        <v>184</v>
      </c>
      <c r="C96">
        <v>200</v>
      </c>
    </row>
    <row r="97" spans="1:3">
      <c r="A97" t="s">
        <v>185</v>
      </c>
      <c r="B97" t="s">
        <v>186</v>
      </c>
      <c r="C97">
        <v>202</v>
      </c>
    </row>
    <row r="98" spans="1:3">
      <c r="A98" t="s">
        <v>187</v>
      </c>
      <c r="B98" t="s">
        <v>188</v>
      </c>
      <c r="C98">
        <v>202</v>
      </c>
    </row>
    <row r="99" spans="1:3">
      <c r="A99" t="s">
        <v>189</v>
      </c>
      <c r="B99" t="s">
        <v>190</v>
      </c>
      <c r="C99">
        <v>203</v>
      </c>
    </row>
    <row r="100" spans="1:3">
      <c r="A100" t="s">
        <v>191</v>
      </c>
      <c r="B100" t="s">
        <v>192</v>
      </c>
      <c r="C100">
        <v>204</v>
      </c>
    </row>
    <row r="101" spans="1:3">
      <c r="A101" t="s">
        <v>193</v>
      </c>
      <c r="B101" t="s">
        <v>194</v>
      </c>
      <c r="C101">
        <v>206</v>
      </c>
    </row>
    <row r="102" spans="1:3">
      <c r="A102" t="s">
        <v>195</v>
      </c>
      <c r="B102" t="s">
        <v>196</v>
      </c>
      <c r="C102">
        <v>207</v>
      </c>
    </row>
    <row r="103" spans="1:3">
      <c r="A103" t="s">
        <v>197</v>
      </c>
      <c r="B103" t="s">
        <v>198</v>
      </c>
      <c r="C103">
        <v>209</v>
      </c>
    </row>
    <row r="104" spans="1:3">
      <c r="A104" t="s">
        <v>199</v>
      </c>
      <c r="B104" t="s">
        <v>200</v>
      </c>
      <c r="C104">
        <v>210</v>
      </c>
    </row>
    <row r="105" spans="1:3">
      <c r="A105" t="s">
        <v>201</v>
      </c>
      <c r="B105" t="s">
        <v>202</v>
      </c>
      <c r="C105">
        <v>213</v>
      </c>
    </row>
    <row r="106" spans="1:3">
      <c r="A106" t="s">
        <v>203</v>
      </c>
      <c r="B106" t="s">
        <v>204</v>
      </c>
      <c r="C106">
        <v>216</v>
      </c>
    </row>
    <row r="107" spans="1:3">
      <c r="A107" t="s">
        <v>205</v>
      </c>
      <c r="B107" t="s">
        <v>206</v>
      </c>
      <c r="C107">
        <v>218</v>
      </c>
    </row>
    <row r="108" spans="1:3">
      <c r="A108" t="s">
        <v>207</v>
      </c>
      <c r="B108" t="s">
        <v>208</v>
      </c>
      <c r="C108">
        <v>219</v>
      </c>
    </row>
    <row r="109" spans="1:3">
      <c r="A109" t="s">
        <v>209</v>
      </c>
      <c r="B109" t="s">
        <v>210</v>
      </c>
      <c r="C109">
        <v>223</v>
      </c>
    </row>
    <row r="110" spans="1:3">
      <c r="A110" t="s">
        <v>211</v>
      </c>
      <c r="B110" t="s">
        <v>212</v>
      </c>
      <c r="C110">
        <v>224</v>
      </c>
    </row>
    <row r="111" spans="1:3">
      <c r="A111" t="s">
        <v>213</v>
      </c>
      <c r="B111" t="s">
        <v>214</v>
      </c>
      <c r="C111">
        <v>224</v>
      </c>
    </row>
    <row r="112" spans="1:3">
      <c r="A112" t="s">
        <v>215</v>
      </c>
      <c r="B112" t="s">
        <v>216</v>
      </c>
      <c r="C112">
        <v>226</v>
      </c>
    </row>
    <row r="113" spans="1:5">
      <c r="A113" t="s">
        <v>217</v>
      </c>
      <c r="B113" t="s">
        <v>218</v>
      </c>
      <c r="C113">
        <v>229</v>
      </c>
    </row>
    <row r="114" spans="1:5">
      <c r="A114" t="s">
        <v>219</v>
      </c>
      <c r="B114" t="s">
        <v>220</v>
      </c>
      <c r="C114">
        <v>230</v>
      </c>
    </row>
    <row r="115" spans="1:5">
      <c r="A115" t="s">
        <v>221</v>
      </c>
      <c r="B115" t="s">
        <v>222</v>
      </c>
      <c r="C115">
        <v>231</v>
      </c>
      <c r="D115" t="s">
        <v>268</v>
      </c>
      <c r="E115" t="s">
        <v>269</v>
      </c>
    </row>
    <row r="116" spans="1:5">
      <c r="A116" t="s">
        <v>223</v>
      </c>
      <c r="B116" t="s">
        <v>224</v>
      </c>
      <c r="C116">
        <v>233</v>
      </c>
      <c r="D116" t="s">
        <v>268</v>
      </c>
      <c r="E116" t="s">
        <v>267</v>
      </c>
    </row>
    <row r="117" spans="1:5">
      <c r="A117" t="s">
        <v>225</v>
      </c>
      <c r="B117" t="s">
        <v>226</v>
      </c>
      <c r="C117">
        <v>234</v>
      </c>
      <c r="D117" t="s">
        <v>268</v>
      </c>
      <c r="E117" t="s">
        <v>270</v>
      </c>
    </row>
    <row r="118" spans="1:5">
      <c r="A118" t="s">
        <v>227</v>
      </c>
      <c r="B118" t="s">
        <v>228</v>
      </c>
      <c r="C118">
        <v>234</v>
      </c>
      <c r="D118" t="s">
        <v>268</v>
      </c>
      <c r="E118" t="s">
        <v>271</v>
      </c>
    </row>
    <row r="119" spans="1:5">
      <c r="A119" t="s">
        <v>229</v>
      </c>
      <c r="B119" t="s">
        <v>230</v>
      </c>
      <c r="C119">
        <v>239</v>
      </c>
    </row>
  </sheetData>
  <conditionalFormatting sqref="F1:F119">
    <cfRule type="expression" dxfId="0" priority="1">
      <formula>$F1="Needs attention"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D100"/>
  <sheetViews>
    <sheetView workbookViewId="0">
      <selection activeCell="D5" sqref="D5"/>
    </sheetView>
  </sheetViews>
  <sheetFormatPr defaultRowHeight="13.8"/>
  <sheetData>
    <row r="1" spans="1:4">
      <c r="A1">
        <v>19.999999999996135</v>
      </c>
      <c r="B1">
        <v>6.7487715059424875</v>
      </c>
      <c r="D1">
        <v>0.5</v>
      </c>
    </row>
    <row r="2" spans="1:4">
      <c r="A2">
        <v>19.999999999996135</v>
      </c>
      <c r="B2">
        <v>6.7487715059424875</v>
      </c>
      <c r="D2">
        <v>0.70710678118654757</v>
      </c>
    </row>
    <row r="3" spans="1:4">
      <c r="A3">
        <v>19.999999999996135</v>
      </c>
      <c r="B3">
        <v>6.7487715059424875</v>
      </c>
      <c r="D3">
        <f>SQRT(D1)</f>
        <v>0.70710678118654757</v>
      </c>
    </row>
    <row r="4" spans="1:4">
      <c r="A4">
        <v>19.999999999996135</v>
      </c>
      <c r="B4">
        <v>6.7487715059424875</v>
      </c>
      <c r="D4">
        <v>50</v>
      </c>
    </row>
    <row r="5" spans="1:4">
      <c r="A5">
        <v>19.999999999996135</v>
      </c>
      <c r="B5">
        <v>6.7487715059424875</v>
      </c>
      <c r="D5">
        <v>0.3</v>
      </c>
    </row>
    <row r="6" spans="1:4">
      <c r="A6">
        <v>19.999999999996135</v>
      </c>
      <c r="B6">
        <v>6.7487715059424875</v>
      </c>
    </row>
    <row r="7" spans="1:4">
      <c r="A7">
        <v>19.999999999996135</v>
      </c>
      <c r="B7">
        <v>6.7487715059424875</v>
      </c>
    </row>
    <row r="8" spans="1:4">
      <c r="A8">
        <v>19.999999999996135</v>
      </c>
      <c r="B8">
        <v>6.7487715059424875</v>
      </c>
    </row>
    <row r="9" spans="1:4">
      <c r="A9">
        <v>19.999999999996135</v>
      </c>
      <c r="B9">
        <v>6.7487715059424875</v>
      </c>
    </row>
    <row r="10" spans="1:4">
      <c r="A10">
        <v>19.999999999996135</v>
      </c>
      <c r="B10">
        <v>6.7487715059424875</v>
      </c>
    </row>
    <row r="11" spans="1:4">
      <c r="A11">
        <v>19.999999999996135</v>
      </c>
      <c r="B11">
        <v>6.7487715059424875</v>
      </c>
    </row>
    <row r="12" spans="1:4">
      <c r="A12">
        <v>19.999999999996135</v>
      </c>
      <c r="B12">
        <v>6.7487715059424875</v>
      </c>
    </row>
    <row r="13" spans="1:4">
      <c r="A13">
        <v>19.999999999996135</v>
      </c>
      <c r="B13">
        <v>6.7487715059424875</v>
      </c>
    </row>
    <row r="14" spans="1:4">
      <c r="A14">
        <v>19.999999999996135</v>
      </c>
      <c r="B14">
        <v>6.7487715059424875</v>
      </c>
    </row>
    <row r="15" spans="1:4">
      <c r="A15">
        <v>19.999999999996135</v>
      </c>
      <c r="B15">
        <v>6.7487715059424875</v>
      </c>
    </row>
    <row r="16" spans="1:4">
      <c r="A16">
        <v>19.999999999996135</v>
      </c>
      <c r="B16">
        <v>6.7487715059424875</v>
      </c>
    </row>
    <row r="17" spans="1:2">
      <c r="A17">
        <v>19.999999999996135</v>
      </c>
      <c r="B17">
        <v>6.7487715059424875</v>
      </c>
    </row>
    <row r="18" spans="1:2">
      <c r="A18">
        <v>19.999999999996135</v>
      </c>
      <c r="B18">
        <v>6.7487715059424875</v>
      </c>
    </row>
    <row r="19" spans="1:2">
      <c r="A19">
        <v>19.999999999996135</v>
      </c>
      <c r="B19">
        <v>6.7487715059424875</v>
      </c>
    </row>
    <row r="20" spans="1:2">
      <c r="A20">
        <v>19.999999999996135</v>
      </c>
      <c r="B20">
        <v>6.7487715059424875</v>
      </c>
    </row>
    <row r="21" spans="1:2">
      <c r="A21">
        <v>19.999999999996135</v>
      </c>
      <c r="B21">
        <v>6.7487715059424875</v>
      </c>
    </row>
    <row r="22" spans="1:2">
      <c r="A22">
        <v>19.999999999996135</v>
      </c>
      <c r="B22">
        <v>6.7487715059424875</v>
      </c>
    </row>
    <row r="23" spans="1:2">
      <c r="A23">
        <v>19.999999999996135</v>
      </c>
      <c r="B23">
        <v>6.7487715059424875</v>
      </c>
    </row>
    <row r="24" spans="1:2">
      <c r="A24">
        <v>19.999999999996135</v>
      </c>
      <c r="B24">
        <v>6.7487715059424875</v>
      </c>
    </row>
    <row r="25" spans="1:2">
      <c r="A25">
        <v>19.999999999996135</v>
      </c>
      <c r="B25">
        <v>6.7487715059424875</v>
      </c>
    </row>
    <row r="26" spans="1:2">
      <c r="A26">
        <v>19.999999999996135</v>
      </c>
      <c r="B26">
        <v>6.7487715059424875</v>
      </c>
    </row>
    <row r="27" spans="1:2">
      <c r="A27">
        <v>19.999999999996135</v>
      </c>
      <c r="B27">
        <v>6.7487715059424875</v>
      </c>
    </row>
    <row r="28" spans="1:2">
      <c r="A28">
        <v>19.999999999996135</v>
      </c>
      <c r="B28">
        <v>6.7487715059424875</v>
      </c>
    </row>
    <row r="29" spans="1:2">
      <c r="A29">
        <v>19.999999999996135</v>
      </c>
      <c r="B29">
        <v>6.7487715059424875</v>
      </c>
    </row>
    <row r="30" spans="1:2">
      <c r="A30">
        <v>19.999999999996135</v>
      </c>
      <c r="B30">
        <v>6.7487715059424875</v>
      </c>
    </row>
    <row r="31" spans="1:2">
      <c r="A31">
        <v>19.999999999996135</v>
      </c>
      <c r="B31">
        <v>6.7487715059424875</v>
      </c>
    </row>
    <row r="32" spans="1:2">
      <c r="A32">
        <v>19.999999999996135</v>
      </c>
      <c r="B32">
        <v>6.7487715059424875</v>
      </c>
    </row>
    <row r="33" spans="1:2">
      <c r="A33">
        <v>19.999999999996135</v>
      </c>
      <c r="B33">
        <v>6.7487715059424875</v>
      </c>
    </row>
    <row r="34" spans="1:2">
      <c r="A34">
        <v>19.999999999996135</v>
      </c>
      <c r="B34">
        <v>6.7487715059424875</v>
      </c>
    </row>
    <row r="35" spans="1:2">
      <c r="A35">
        <v>19.999999999996135</v>
      </c>
      <c r="B35">
        <v>6.7487715059424875</v>
      </c>
    </row>
    <row r="36" spans="1:2">
      <c r="A36">
        <v>19.999999999996135</v>
      </c>
      <c r="B36">
        <v>6.7487715059424875</v>
      </c>
    </row>
    <row r="37" spans="1:2">
      <c r="A37">
        <v>19.999999999996135</v>
      </c>
      <c r="B37">
        <v>6.7487715059424875</v>
      </c>
    </row>
    <row r="38" spans="1:2">
      <c r="A38">
        <v>19.999999999996135</v>
      </c>
      <c r="B38">
        <v>6.7487715059424875</v>
      </c>
    </row>
    <row r="39" spans="1:2">
      <c r="A39">
        <v>19.999999999996135</v>
      </c>
      <c r="B39">
        <v>6.7487715059424875</v>
      </c>
    </row>
    <row r="40" spans="1:2">
      <c r="A40">
        <v>19.999999999996135</v>
      </c>
      <c r="B40">
        <v>6.7487715059424875</v>
      </c>
    </row>
    <row r="41" spans="1:2">
      <c r="A41">
        <v>19.999999999996135</v>
      </c>
      <c r="B41">
        <v>6.7487715059424875</v>
      </c>
    </row>
    <row r="42" spans="1:2">
      <c r="A42">
        <v>19.999999999996135</v>
      </c>
      <c r="B42">
        <v>6.7487715059424875</v>
      </c>
    </row>
    <row r="43" spans="1:2">
      <c r="A43">
        <v>19.999999999996135</v>
      </c>
      <c r="B43">
        <v>6.7487715059424875</v>
      </c>
    </row>
    <row r="44" spans="1:2">
      <c r="A44">
        <v>19.999999999996135</v>
      </c>
      <c r="B44">
        <v>6.7487715059424875</v>
      </c>
    </row>
    <row r="45" spans="1:2">
      <c r="A45">
        <v>19.999999999996135</v>
      </c>
      <c r="B45">
        <v>6.7487715059424875</v>
      </c>
    </row>
    <row r="46" spans="1:2">
      <c r="A46">
        <v>19.999999999996135</v>
      </c>
      <c r="B46">
        <v>6.7487715059424875</v>
      </c>
    </row>
    <row r="47" spans="1:2">
      <c r="A47">
        <v>19.999999999996135</v>
      </c>
      <c r="B47">
        <v>6.7487715059424875</v>
      </c>
    </row>
    <row r="48" spans="1:2">
      <c r="A48">
        <v>19.999999999996135</v>
      </c>
      <c r="B48">
        <v>6.7487715059424875</v>
      </c>
    </row>
    <row r="49" spans="1:2">
      <c r="A49">
        <v>19.999999999996135</v>
      </c>
      <c r="B49">
        <v>6.7487715059424875</v>
      </c>
    </row>
    <row r="50" spans="1:2">
      <c r="A50">
        <v>19.999999999996135</v>
      </c>
      <c r="B50">
        <v>6.7487715059424875</v>
      </c>
    </row>
    <row r="51" spans="1:2">
      <c r="A51">
        <v>19.999999999996135</v>
      </c>
      <c r="B51">
        <v>6.7487715059424875</v>
      </c>
    </row>
    <row r="52" spans="1:2">
      <c r="A52">
        <v>19.999999999996135</v>
      </c>
      <c r="B52">
        <v>6.7487715059424875</v>
      </c>
    </row>
    <row r="53" spans="1:2">
      <c r="A53">
        <v>19.999999999996135</v>
      </c>
      <c r="B53">
        <v>6.7487715059424875</v>
      </c>
    </row>
    <row r="54" spans="1:2">
      <c r="A54">
        <v>19.999999999996135</v>
      </c>
      <c r="B54">
        <v>6.7487715059424875</v>
      </c>
    </row>
    <row r="55" spans="1:2">
      <c r="A55">
        <v>19.999999999996135</v>
      </c>
      <c r="B55">
        <v>6.7487715059424875</v>
      </c>
    </row>
    <row r="56" spans="1:2">
      <c r="A56">
        <v>19.999999999996135</v>
      </c>
      <c r="B56">
        <v>6.7487715059424875</v>
      </c>
    </row>
    <row r="57" spans="1:2">
      <c r="A57">
        <v>19.999999999996135</v>
      </c>
      <c r="B57">
        <v>6.7487715059424875</v>
      </c>
    </row>
    <row r="58" spans="1:2">
      <c r="A58">
        <v>19.999999999996135</v>
      </c>
      <c r="B58">
        <v>6.7487715059424875</v>
      </c>
    </row>
    <row r="59" spans="1:2">
      <c r="A59">
        <v>19.999999999996135</v>
      </c>
      <c r="B59">
        <v>6.7487715059424875</v>
      </c>
    </row>
    <row r="60" spans="1:2">
      <c r="A60">
        <v>19.999999999996135</v>
      </c>
      <c r="B60">
        <v>6.7487715059424875</v>
      </c>
    </row>
    <row r="61" spans="1:2">
      <c r="A61">
        <v>19.999999999996135</v>
      </c>
      <c r="B61">
        <v>6.7487715059424875</v>
      </c>
    </row>
    <row r="62" spans="1:2">
      <c r="A62">
        <v>19.999999999996135</v>
      </c>
      <c r="B62">
        <v>6.7487715059424875</v>
      </c>
    </row>
    <row r="63" spans="1:2">
      <c r="A63">
        <v>19.999999999996135</v>
      </c>
      <c r="B63">
        <v>6.7487715059424875</v>
      </c>
    </row>
    <row r="64" spans="1:2">
      <c r="A64">
        <v>19.999999999996135</v>
      </c>
      <c r="B64">
        <v>6.7487715059424875</v>
      </c>
    </row>
    <row r="65" spans="1:2">
      <c r="A65">
        <v>19.999999999996135</v>
      </c>
      <c r="B65">
        <v>6.7487715059424875</v>
      </c>
    </row>
    <row r="66" spans="1:2">
      <c r="A66">
        <v>19.999999999996135</v>
      </c>
      <c r="B66">
        <v>6.7487715059424875</v>
      </c>
    </row>
    <row r="67" spans="1:2">
      <c r="A67">
        <v>19.999999999996135</v>
      </c>
      <c r="B67">
        <v>6.7487715059424875</v>
      </c>
    </row>
    <row r="68" spans="1:2">
      <c r="A68">
        <v>19.999999999996135</v>
      </c>
      <c r="B68">
        <v>6.7487715059424875</v>
      </c>
    </row>
    <row r="69" spans="1:2">
      <c r="A69">
        <v>19.999999999996135</v>
      </c>
      <c r="B69">
        <v>6.7487715059424875</v>
      </c>
    </row>
    <row r="70" spans="1:2">
      <c r="A70">
        <v>19.999999999996135</v>
      </c>
      <c r="B70">
        <v>6.7487715059424875</v>
      </c>
    </row>
    <row r="71" spans="1:2">
      <c r="A71">
        <v>19.999999999996135</v>
      </c>
      <c r="B71">
        <v>6.7487715059424875</v>
      </c>
    </row>
    <row r="72" spans="1:2">
      <c r="A72">
        <v>19.999999999996135</v>
      </c>
      <c r="B72">
        <v>6.7487715059424875</v>
      </c>
    </row>
    <row r="73" spans="1:2">
      <c r="A73">
        <v>19.999999999996135</v>
      </c>
      <c r="B73">
        <v>6.7487715059424875</v>
      </c>
    </row>
    <row r="74" spans="1:2">
      <c r="A74">
        <v>19.999999999996135</v>
      </c>
      <c r="B74">
        <v>6.7487715059424875</v>
      </c>
    </row>
    <row r="75" spans="1:2">
      <c r="A75">
        <v>19.999999999996135</v>
      </c>
      <c r="B75">
        <v>6.7487715059424875</v>
      </c>
    </row>
    <row r="76" spans="1:2">
      <c r="A76">
        <v>19.999999999996135</v>
      </c>
      <c r="B76">
        <v>6.7487715059424875</v>
      </c>
    </row>
    <row r="77" spans="1:2">
      <c r="A77">
        <v>19.999999999996135</v>
      </c>
      <c r="B77">
        <v>6.7487715059424875</v>
      </c>
    </row>
    <row r="78" spans="1:2">
      <c r="A78">
        <v>19.999999999996135</v>
      </c>
      <c r="B78">
        <v>6.7487715059424875</v>
      </c>
    </row>
    <row r="79" spans="1:2">
      <c r="A79">
        <v>19.999999999996135</v>
      </c>
      <c r="B79">
        <v>6.7487715059424875</v>
      </c>
    </row>
    <row r="80" spans="1:2">
      <c r="A80">
        <v>19.999999999996135</v>
      </c>
      <c r="B80">
        <v>6.7487715059424875</v>
      </c>
    </row>
    <row r="81" spans="1:2">
      <c r="A81">
        <v>19.999999999996135</v>
      </c>
      <c r="B81">
        <v>6.7487715059424875</v>
      </c>
    </row>
    <row r="82" spans="1:2">
      <c r="A82">
        <v>19.999999999996135</v>
      </c>
      <c r="B82">
        <v>6.7487715059424875</v>
      </c>
    </row>
    <row r="83" spans="1:2">
      <c r="A83">
        <v>19.999999999996135</v>
      </c>
      <c r="B83">
        <v>6.7487715059424875</v>
      </c>
    </row>
    <row r="84" spans="1:2">
      <c r="A84">
        <v>19.999999999996135</v>
      </c>
      <c r="B84">
        <v>6.7487715059424875</v>
      </c>
    </row>
    <row r="85" spans="1:2">
      <c r="A85">
        <v>19.999999999996135</v>
      </c>
      <c r="B85">
        <v>6.7487715059424875</v>
      </c>
    </row>
    <row r="86" spans="1:2">
      <c r="A86">
        <v>19.999999999996135</v>
      </c>
      <c r="B86">
        <v>6.7487715059424875</v>
      </c>
    </row>
    <row r="87" spans="1:2">
      <c r="A87">
        <v>19.999999999996135</v>
      </c>
      <c r="B87">
        <v>6.7487715059424875</v>
      </c>
    </row>
    <row r="88" spans="1:2">
      <c r="A88">
        <v>19.999999999996135</v>
      </c>
      <c r="B88">
        <v>6.7487715059424875</v>
      </c>
    </row>
    <row r="89" spans="1:2">
      <c r="A89">
        <v>19.999999999996135</v>
      </c>
      <c r="B89">
        <v>6.7487715059424875</v>
      </c>
    </row>
    <row r="90" spans="1:2">
      <c r="A90">
        <v>19.999999999996135</v>
      </c>
      <c r="B90">
        <v>6.7487715059424875</v>
      </c>
    </row>
    <row r="91" spans="1:2">
      <c r="A91">
        <v>19.999999999996135</v>
      </c>
      <c r="B91">
        <v>6.7487715059424875</v>
      </c>
    </row>
    <row r="92" spans="1:2">
      <c r="A92">
        <v>19.999999999996135</v>
      </c>
      <c r="B92">
        <v>6.7487715059424875</v>
      </c>
    </row>
    <row r="93" spans="1:2">
      <c r="A93">
        <v>19.999999999996135</v>
      </c>
      <c r="B93">
        <v>6.7487715059424875</v>
      </c>
    </row>
    <row r="94" spans="1:2">
      <c r="A94">
        <v>19.999999999996135</v>
      </c>
      <c r="B94">
        <v>6.7487715059424875</v>
      </c>
    </row>
    <row r="95" spans="1:2">
      <c r="A95">
        <v>19.999999999996135</v>
      </c>
      <c r="B95">
        <v>6.7487715059424875</v>
      </c>
    </row>
    <row r="96" spans="1:2">
      <c r="A96">
        <v>19.999999999996135</v>
      </c>
      <c r="B96">
        <v>6.7487715059424875</v>
      </c>
    </row>
    <row r="97" spans="1:2">
      <c r="A97">
        <v>19.999999999996135</v>
      </c>
      <c r="B97">
        <v>6.7487715059424875</v>
      </c>
    </row>
    <row r="98" spans="1:2">
      <c r="A98">
        <v>19.999999999996135</v>
      </c>
      <c r="B98">
        <v>6.7487715059424875</v>
      </c>
    </row>
    <row r="99" spans="1:2">
      <c r="A99">
        <v>19.999999999996135</v>
      </c>
      <c r="B99">
        <v>6.7487715059424875</v>
      </c>
    </row>
    <row r="100" spans="1:2">
      <c r="A100">
        <v>19.999999999996135</v>
      </c>
      <c r="B100">
        <v>6.7487715059424875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O4"/>
  <sheetViews>
    <sheetView workbookViewId="0">
      <selection activeCell="E4" sqref="E4"/>
    </sheetView>
  </sheetViews>
  <sheetFormatPr defaultRowHeight="13.8"/>
  <sheetData>
    <row r="1" spans="1:15">
      <c r="A1">
        <v>1</v>
      </c>
      <c r="B1">
        <v>4</v>
      </c>
      <c r="C1">
        <v>4</v>
      </c>
      <c r="E1">
        <v>2</v>
      </c>
      <c r="G1">
        <v>1</v>
      </c>
      <c r="H1">
        <v>2</v>
      </c>
      <c r="I1">
        <v>3</v>
      </c>
      <c r="K1">
        <v>3</v>
      </c>
      <c r="M1">
        <f>A1*$E$1+G1*$K$1</f>
        <v>5</v>
      </c>
      <c r="N1">
        <f t="shared" ref="N1:N4" si="0">B1*$E$1+H1*$K$1</f>
        <v>14</v>
      </c>
      <c r="O1">
        <f t="shared" ref="O1:O4" si="1">C1*$E$1+I1*$K$1</f>
        <v>17</v>
      </c>
    </row>
    <row r="2" spans="1:15">
      <c r="A2">
        <v>2</v>
      </c>
      <c r="B2">
        <v>3</v>
      </c>
      <c r="C2">
        <v>4</v>
      </c>
      <c r="G2">
        <v>3</v>
      </c>
      <c r="H2">
        <v>4</v>
      </c>
      <c r="I2">
        <v>5</v>
      </c>
      <c r="M2">
        <f t="shared" ref="M2:M4" si="2">A2*$E$1+G2*$K$1</f>
        <v>13</v>
      </c>
      <c r="N2">
        <f t="shared" si="0"/>
        <v>18</v>
      </c>
      <c r="O2">
        <f t="shared" si="1"/>
        <v>23</v>
      </c>
    </row>
    <row r="3" spans="1:15">
      <c r="A3">
        <v>44</v>
      </c>
      <c r="B3">
        <v>22</v>
      </c>
      <c r="C3">
        <v>11</v>
      </c>
      <c r="G3">
        <v>5</v>
      </c>
      <c r="H3">
        <v>6</v>
      </c>
      <c r="I3">
        <v>7</v>
      </c>
      <c r="M3">
        <f t="shared" si="2"/>
        <v>103</v>
      </c>
      <c r="N3">
        <f t="shared" si="0"/>
        <v>62</v>
      </c>
      <c r="O3">
        <f t="shared" si="1"/>
        <v>43</v>
      </c>
    </row>
    <row r="4" spans="1:15">
      <c r="A4">
        <v>11</v>
      </c>
      <c r="B4">
        <v>11</v>
      </c>
      <c r="C4">
        <v>22</v>
      </c>
      <c r="G4">
        <v>5</v>
      </c>
      <c r="H4">
        <v>5</v>
      </c>
      <c r="I4">
        <v>5</v>
      </c>
      <c r="M4">
        <f t="shared" si="2"/>
        <v>37</v>
      </c>
      <c r="N4">
        <f t="shared" si="0"/>
        <v>37</v>
      </c>
      <c r="O4">
        <f t="shared" si="1"/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Marcin Nowicki</dc:creator>
  <cp:lastModifiedBy>Marcin Nowicki</cp:lastModifiedBy>
  <dcterms:created xsi:type="dcterms:W3CDTF">2015-03-19T16:59:46Z</dcterms:created>
  <dcterms:modified xsi:type="dcterms:W3CDTF">2015-07-17T12:03:37Z</dcterms:modified>
</cp:coreProperties>
</file>